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us_les_indices" sheetId="1" state="visible" r:id="rId3"/>
    <sheet name="Correlations" sheetId="2" state="visible" r:id="rId4"/>
    <sheet name="Classification" sheetId="3" state="visible" r:id="rId5"/>
    <sheet name="Corrections_apporte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<sst xmlns="http://schemas.openxmlformats.org/spreadsheetml/2006/main" count="274" uniqueCount="158">
  <si>
    <t xml:space="preserve">SYNTHÈSE DE TOUS LES INDICES DE SÉGRÉGATION ET DE DISPARITÉ — THIÈS</t>
  </si>
  <si>
    <t xml:space="preserve">Valeurs finales validées. Vert = Moran significatif à 5 %. Cases vides = indice non applicable (D, IS et H exigent des groupes de population comptés).</t>
  </si>
  <si>
    <t xml:space="preserve">Dimension</t>
  </si>
  <si>
    <t xml:space="preserve">Indicateur</t>
  </si>
  <si>
    <t xml:space="preserve">Unité d’analyse</t>
  </si>
  <si>
    <t xml:space="preserve">Gini</t>
  </si>
  <si>
    <t xml:space="preserve">Gini pondéré (population)</t>
  </si>
  <si>
    <t xml:space="preserve">Theil</t>
  </si>
  <si>
    <t xml:space="preserve">Dissimilarité D</t>
  </si>
  <si>
    <t xml:space="preserve">Indice de ségrégation IS</t>
  </si>
  <si>
    <t xml:space="preserve">Indice d’entropie H</t>
  </si>
  <si>
    <t xml:space="preserve">Moran I</t>
  </si>
  <si>
    <t xml:space="preserve">pseudo p</t>
  </si>
  <si>
    <t xml:space="preserve">Clusters LISA</t>
  </si>
  <si>
    <t xml:space="preserve">Classeur détaillé</t>
  </si>
  <si>
    <t xml:space="preserve">Socio-économique</t>
  </si>
  <si>
    <t xml:space="preserve">Niveau d’instruction (indice 0–1)</t>
  </si>
  <si>
    <t xml:space="preserve">68 quartiers</t>
  </si>
  <si>
    <t xml:space="preserve">0,072 à 0,213 selon le niveau</t>
  </si>
  <si>
    <t xml:space="preserve">8 HH / 13 LL / 1 LH / 0 HL (GeoDa)</t>
  </si>
  <si>
    <t xml:space="preserve">COMPLEMENTS_ENCADREUR_THIES.xlsx (IS_instruction)</t>
  </si>
  <si>
    <t xml:space="preserve">Niveau de vie matériel (indice corrigé)</t>
  </si>
  <si>
    <t xml:space="preserve">5 HH / 6 LL / 1 LH / 1 HL</t>
  </si>
  <si>
    <t xml:space="preserve">NIVEAU_DE_VIE_CORRIGE_THIES.xlsx</t>
  </si>
  <si>
    <t xml:space="preserve">Infrastructures</t>
  </si>
  <si>
    <t xml:space="preserve">Densité santé (nb/km²)</t>
  </si>
  <si>
    <t xml:space="preserve">Cartes GeoDa</t>
  </si>
  <si>
    <t xml:space="preserve">GINI_DENSITES / LQ_DENSITES (fichiers du groupe)</t>
  </si>
  <si>
    <t xml:space="preserve">Densité éducation (nb/km²)</t>
  </si>
  <si>
    <t xml:space="preserve">Densité commerce (nb/km²)</t>
  </si>
  <si>
    <t xml:space="preserve">Densité sport (nb/km²)</t>
  </si>
  <si>
    <t xml:space="preserve">Densité transport (nb/km²)</t>
  </si>
  <si>
    <t xml:space="preserve">Densité banque (nb/km²)</t>
  </si>
  <si>
    <t xml:space="preserve">Densité assurance (nb/km²)</t>
  </si>
  <si>
    <t xml:space="preserve">Densité religion (nb/km²)</t>
  </si>
  <si>
    <t xml:space="preserve">Offre d’infrastructures (indicateur synthétique)</t>
  </si>
  <si>
    <t xml:space="preserve">11 HH / 11 LL / 1 LH / 0 HL</t>
  </si>
  <si>
    <t xml:space="preserve">COMPLEMENTS_ENCADREUR_THIES.xlsx</t>
  </si>
  <si>
    <t xml:space="preserve">Accessibilité (grille)</t>
  </si>
  <si>
    <t xml:space="preserve">Accessibilité globale — Gini des distances</t>
  </si>
  <si>
    <t xml:space="preserve">2 170 cellules</t>
  </si>
  <si>
    <t xml:space="preserve">Voir ACCESSIBILITE_GINI_MORAN_LISA</t>
  </si>
  <si>
    <t xml:space="preserve">ACCESSIBILITE_GINI_MORAN_LISA_THIES.xlsx</t>
  </si>
  <si>
    <t xml:space="preserve">Santé — Gini des distances</t>
  </si>
  <si>
    <t xml:space="preserve">Éducation — Gini des distances</t>
  </si>
  <si>
    <t xml:space="preserve">Commerce — Gini des distances</t>
  </si>
  <si>
    <t xml:space="preserve">Sport — Gini des distances</t>
  </si>
  <si>
    <t xml:space="preserve">Transport — Gini des distances</t>
  </si>
  <si>
    <t xml:space="preserve">Banque — Gini des distances</t>
  </si>
  <si>
    <t xml:space="preserve">Assurance — Gini des distances</t>
  </si>
  <si>
    <t xml:space="preserve">Religion — Gini des distances</t>
  </si>
  <si>
    <t xml:space="preserve">Réseau routier — Gini des distances</t>
  </si>
  <si>
    <t xml:space="preserve">Accessibilité (quartiers)</t>
  </si>
  <si>
    <t xml:space="preserve">Accessibilité globale moyenne</t>
  </si>
  <si>
    <t xml:space="preserve">17 HH / 9 LL</t>
  </si>
  <si>
    <t xml:space="preserve">Distance moyenne à la route (m)</t>
  </si>
  <si>
    <t xml:space="preserve">2 HH / 7 LL / 2 LH</t>
  </si>
  <si>
    <t xml:space="preserve">Mobilité</t>
  </si>
  <si>
    <t xml:space="preserve">Flux émis</t>
  </si>
  <si>
    <t xml:space="preserve">67 quartiers</t>
  </si>
  <si>
    <t xml:space="preserve">Égal à D (2 groupes)</t>
  </si>
  <si>
    <t xml:space="preserve">5 HH / 3 LL / 2 LH</t>
  </si>
  <si>
    <t xml:space="preserve">MOBILITE_THIES_INDICES_CORRIGES_QRT.xlsx</t>
  </si>
  <si>
    <t xml:space="preserve">Flux reçus</t>
  </si>
  <si>
    <t xml:space="preserve">2 HH / 1 LL / 2 LH</t>
  </si>
  <si>
    <t xml:space="preserve">Volume des échanges</t>
  </si>
  <si>
    <t xml:space="preserve">3 HH / 3 LL / 1 LH</t>
  </si>
  <si>
    <t xml:space="preserve">Solde des échanges</t>
  </si>
  <si>
    <t xml:space="preserve">1 HH / 6 LL</t>
  </si>
  <si>
    <t xml:space="preserve">Indice d’attractivité (ramené 0–1)</t>
  </si>
  <si>
    <t xml:space="preserve">2 HH / 2 HL</t>
  </si>
  <si>
    <t xml:space="preserve">Accessibilité (grille) : Gini calculé sur les distances (1 − indice), égal au Gini des distances réelles. Moran ≈ 0,99 : mécanique pour une surface de distance, à ne pas interpréter comme une ségrégation.</t>
  </si>
  <si>
    <t xml:space="preserve">Mobilité : D compare la répartition des flux émis et reçus ; avec deux groupes, IS = D ; H = 0,237 mesure la spécialisation émetteur/récepteur des quartiers.</t>
  </si>
  <si>
    <t xml:space="preserve">Instruction : D compare le groupe faible (sans niveau + préscolaire + primaire) et le groupe élevé (secondaire + supérieur), 65 quartiers à population &gt; 0 ; H porte sur les 6 niveaux.</t>
  </si>
  <si>
    <t xml:space="preserve">CORRÉLATIONS DE SPEARMAN ENTRE DIMENSIONS (PAR QUARTIER)</t>
  </si>
  <si>
    <t xml:space="preserve">Indice de niveau de vie corrigé. p corrigé = correction FDR de Benjamini-Hochberg sur l’ensemble des tests.</t>
  </si>
  <si>
    <t xml:space="preserve">Indicateur 1</t>
  </si>
  <si>
    <t xml:space="preserve">Indicateur 2</t>
  </si>
  <si>
    <t xml:space="preserve">Quartiers</t>
  </si>
  <si>
    <t xml:space="preserve">ρ de Spearman</t>
  </si>
  <si>
    <t xml:space="preserve">p brut</t>
  </si>
  <si>
    <t xml:space="preserve">p corrigé (FDR)</t>
  </si>
  <si>
    <t xml:space="preserve">Significatif à 5 %</t>
  </si>
  <si>
    <t xml:space="preserve">Offre d’infrastructures</t>
  </si>
  <si>
    <t xml:space="preserve">Oui</t>
  </si>
  <si>
    <t xml:space="preserve">Instruction</t>
  </si>
  <si>
    <t xml:space="preserve">Niveau de vie</t>
  </si>
  <si>
    <t xml:space="preserve">Distance moyenne à la route</t>
  </si>
  <si>
    <t xml:space="preserve">Non</t>
  </si>
  <si>
    <t xml:space="preserve">Indice d’attractivité</t>
  </si>
  <si>
    <t xml:space="preserve">LQ réception par habitant</t>
  </si>
  <si>
    <t xml:space="preserve">CLASSIFICATION DES QUARTIERS — RÉSUMÉ</t>
  </si>
  <si>
    <t xml:space="preserve">Détail complet dans CLASSIFICATION_QUARTIERS_THIES.xlsx.</t>
  </si>
  <si>
    <t xml:space="preserve">Élément</t>
  </si>
  <si>
    <t xml:space="preserve">Valeur</t>
  </si>
  <si>
    <t xml:space="preserve">Indicateurs candidats</t>
  </si>
  <si>
    <t xml:space="preserve">Indicateurs retenus (MSA ≥ 0,6)</t>
  </si>
  <si>
    <t xml:space="preserve">KMO global</t>
  </si>
  <si>
    <t xml:space="preserve">Bartlett</t>
  </si>
  <si>
    <t xml:space="preserve">χ² = 411 ; ddl = 36 ; p &lt; 0,001</t>
  </si>
  <si>
    <t xml:space="preserve">Axes retenus (Kaiser)</t>
  </si>
  <si>
    <t xml:space="preserve">CP1 = 46,1 % ; CP2 = 20,7 %</t>
  </si>
  <si>
    <t xml:space="preserve">Méthode</t>
  </si>
  <si>
    <t xml:space="preserve">K-means, k = 5 (silhouette 0,48) ; accord avec Ward 0,90</t>
  </si>
  <si>
    <t xml:space="preserve">Classe</t>
  </si>
  <si>
    <t xml:space="preserve">Profil</t>
  </si>
  <si>
    <t xml:space="preserve">Population</t>
  </si>
  <si>
    <t xml:space="preserve">Part de la population</t>
  </si>
  <si>
    <t xml:space="preserve">Résidentiels aisés et instruits</t>
  </si>
  <si>
    <t xml:space="preserve">Centraux et péricentraux équipés</t>
  </si>
  <si>
    <t xml:space="preserve">Populaires denses, peu instruits</t>
  </si>
  <si>
    <t xml:space="preserve">Intermédiaires sous-équipés</t>
  </si>
  <si>
    <t xml:space="preserve">Périphérie peu urbanisée</t>
  </si>
  <si>
    <t xml:space="preserve">CORRECTIONS APPORTÉES AUX ANCIENS FICHIERS</t>
  </si>
  <si>
    <t xml:space="preserve">Les valeurs de gauche ne doivent plus être utilisées dans le mémoire.</t>
  </si>
  <si>
    <t xml:space="preserve">Ancienne valeur</t>
  </si>
  <si>
    <t xml:space="preserve">Valeur finale</t>
  </si>
  <si>
    <t xml:space="preserve">Cause</t>
  </si>
  <si>
    <t xml:space="preserve">Sens de l’indice de niveau de vie</t>
  </si>
  <si>
    <t xml:space="preserve">Inversé (ρ = −0,92 avec l’ordinateur)</t>
  </si>
  <si>
    <t xml:space="preserve">1 − ancien indice</t>
  </si>
  <si>
    <t xml:space="preserve">Axe d’ACP orienté à l’envers</t>
  </si>
  <si>
    <t xml:space="preserve">Gini niveau de vie (non pondéré / pondéré)</t>
  </si>
  <si>
    <t xml:space="preserve">0,108 / 0,070</t>
  </si>
  <si>
    <t xml:space="preserve">0,256 / 0,215</t>
  </si>
  <si>
    <t xml:space="preserve">Indice inversé</t>
  </si>
  <si>
    <t xml:space="preserve">Gini flux émis / reçus / volume</t>
  </si>
  <si>
    <t xml:space="preserve">0,722 / 0,832 / 0,768</t>
  </si>
  <si>
    <t xml:space="preserve">0,482 / 0,707 / 0,576</t>
  </si>
  <si>
    <t xml:space="preserve">Ligne TOTAL comptée comme un 69ᵉ quartier</t>
  </si>
  <si>
    <t xml:space="preserve">Dissimilarité émis / reçus</t>
  </si>
  <si>
    <t xml:space="preserve">0,206</t>
  </si>
  <si>
    <t xml:space="preserve">0,416</t>
  </si>
  <si>
    <t xml:space="preserve">Ligne TOTAL</t>
  </si>
  <si>
    <t xml:space="preserve">Total flux émis</t>
  </si>
  <si>
    <t xml:space="preserve">63 845</t>
  </si>
  <si>
    <t xml:space="preserve">31 570</t>
  </si>
  <si>
    <t xml:space="preserve">Ligne TOTAL (total doublé)</t>
  </si>
  <si>
    <t xml:space="preserve">Moran flux émis</t>
  </si>
  <si>
    <t xml:space="preserve">0,124 (p = 0,043)</t>
  </si>
  <si>
    <t xml:space="preserve">0,118 (p = 0,062)</t>
  </si>
  <si>
    <t xml:space="preserve">FAHU II sans données codé 0</t>
  </si>
  <si>
    <t xml:space="preserve">LQ de mobilité par habitant</t>
  </si>
  <si>
    <t xml:space="preserve">Nuls pour 18 quartiers</t>
  </si>
  <si>
    <t xml:space="preserve">Recalculés sur 64 quartiers</t>
  </si>
  <si>
    <t xml:space="preserve">Population vide dans la couche QRT</t>
  </si>
  <si>
    <t xml:space="preserve">Indice d’entropie H (instruction)</t>
  </si>
  <si>
    <t xml:space="preserve">0,0201</t>
  </si>
  <si>
    <t xml:space="preserve">0,0190</t>
  </si>
  <si>
    <t xml:space="preserve">Pondérations incohérentes</t>
  </si>
  <si>
    <t xml:space="preserve">Moran niveau de vie</t>
  </si>
  <si>
    <t xml:space="preserve">0,2014 (un classeur)</t>
  </si>
  <si>
    <t xml:space="preserve">0,2089</t>
  </si>
  <si>
    <t xml:space="preserve">Vérifié GeoDa / PySAL</t>
  </si>
  <si>
    <t xml:space="preserve">Theil Q1–Q4 niveau de vie</t>
  </si>
  <si>
    <t xml:space="preserve">0,113 (65 quartiers)</t>
  </si>
  <si>
    <t xml:space="preserve">0,091 (68 quartiers)</t>
  </si>
  <si>
    <t xml:space="preserve">Quartiles recalculés sur 65 quartiers dans l’ancien fichier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</si>
</sst>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#,##0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sz val="10"/>
      <color theme="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F0D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1" min="10" style="0" width="9"/>
    <col collapsed="false" customWidth="true" hidden="false" outlineLevel="0" max="12" min="12" style="0" width="26"/>
    <col collapsed="false" customWidth="true" hidden="false" outlineLevel="0" max="13" min="13" style="0" width="40"/>
  </cols>
  <sheetData>
    <row r="1" customFormat="false" ht="16.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36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customFormat="false" ht="23.85" hidden="false" customHeight="false" outlineLevel="0" collapsed="false">
      <c r="A5" s="5" t="s">
        <v>15</v>
      </c>
      <c r="B5" s="6" t="s">
        <v>16</v>
      </c>
      <c r="C5" s="5" t="s">
        <v>17</v>
      </c>
      <c r="D5" s="7" t="n">
        <v>0.3266</v>
      </c>
      <c r="E5" s="7" t="n">
        <v>0.4026</v>
      </c>
      <c r="F5" s="7" t="n">
        <v>0.181181978902781</v>
      </c>
      <c r="G5" s="7" t="n">
        <v>0.1941</v>
      </c>
      <c r="H5" s="5" t="s">
        <v>18</v>
      </c>
      <c r="I5" s="7" t="n">
        <v>0.019</v>
      </c>
      <c r="J5" s="8" t="n">
        <v>0.4073</v>
      </c>
      <c r="K5" s="8" t="n">
        <v>0.001</v>
      </c>
      <c r="L5" s="9" t="s">
        <v>19</v>
      </c>
      <c r="M5" s="9" t="s">
        <v>20</v>
      </c>
    </row>
    <row r="6" customFormat="false" ht="15" hidden="false" customHeight="false" outlineLevel="0" collapsed="false">
      <c r="A6" s="5" t="s">
        <v>15</v>
      </c>
      <c r="B6" s="6" t="s">
        <v>21</v>
      </c>
      <c r="C6" s="5" t="s">
        <v>17</v>
      </c>
      <c r="D6" s="7" t="n">
        <v>0.2561</v>
      </c>
      <c r="E6" s="7" t="n">
        <v>0.2151</v>
      </c>
      <c r="F6" s="7" t="n">
        <v>0.117387186864898</v>
      </c>
      <c r="G6" s="5"/>
      <c r="H6" s="5"/>
      <c r="I6" s="5"/>
      <c r="J6" s="8" t="n">
        <v>0.2089</v>
      </c>
      <c r="K6" s="8" t="n">
        <v>0.003</v>
      </c>
      <c r="L6" s="9" t="s">
        <v>22</v>
      </c>
      <c r="M6" s="9" t="s">
        <v>23</v>
      </c>
    </row>
    <row r="7" customFormat="false" ht="23.85" hidden="false" customHeight="false" outlineLevel="0" collapsed="false">
      <c r="A7" s="5" t="s">
        <v>24</v>
      </c>
      <c r="B7" s="6" t="s">
        <v>25</v>
      </c>
      <c r="C7" s="5" t="s">
        <v>17</v>
      </c>
      <c r="D7" s="7" t="n">
        <v>0.589318803773154</v>
      </c>
      <c r="E7" s="5"/>
      <c r="F7" s="7" t="n">
        <v>0.63772173752712</v>
      </c>
      <c r="G7" s="5"/>
      <c r="H7" s="5"/>
      <c r="I7" s="5"/>
      <c r="J7" s="8" t="n">
        <v>0.2731</v>
      </c>
      <c r="K7" s="8" t="n">
        <v>0.002</v>
      </c>
      <c r="L7" s="9" t="s">
        <v>26</v>
      </c>
      <c r="M7" s="9" t="s">
        <v>27</v>
      </c>
    </row>
    <row r="8" customFormat="false" ht="23.85" hidden="false" customHeight="false" outlineLevel="0" collapsed="false">
      <c r="A8" s="5" t="s">
        <v>24</v>
      </c>
      <c r="B8" s="6" t="s">
        <v>28</v>
      </c>
      <c r="C8" s="5" t="s">
        <v>17</v>
      </c>
      <c r="D8" s="7" t="n">
        <v>0.444508951207225</v>
      </c>
      <c r="E8" s="5"/>
      <c r="F8" s="7" t="n">
        <v>0.345233485343998</v>
      </c>
      <c r="G8" s="5"/>
      <c r="H8" s="5"/>
      <c r="I8" s="5"/>
      <c r="J8" s="8" t="n">
        <v>0.3165</v>
      </c>
      <c r="K8" s="8" t="n">
        <v>0.001</v>
      </c>
      <c r="L8" s="9" t="s">
        <v>26</v>
      </c>
      <c r="M8" s="9" t="s">
        <v>27</v>
      </c>
    </row>
    <row r="9" customFormat="false" ht="23.85" hidden="false" customHeight="false" outlineLevel="0" collapsed="false">
      <c r="A9" s="5" t="s">
        <v>24</v>
      </c>
      <c r="B9" s="6" t="s">
        <v>29</v>
      </c>
      <c r="C9" s="5" t="s">
        <v>17</v>
      </c>
      <c r="D9" s="7" t="n">
        <v>0.435469887531027</v>
      </c>
      <c r="E9" s="5"/>
      <c r="F9" s="7" t="n">
        <v>0.330498412996626</v>
      </c>
      <c r="G9" s="5"/>
      <c r="H9" s="5"/>
      <c r="I9" s="5"/>
      <c r="J9" s="8" t="n">
        <v>0.3805</v>
      </c>
      <c r="K9" s="8" t="n">
        <v>0.001</v>
      </c>
      <c r="L9" s="9" t="s">
        <v>26</v>
      </c>
      <c r="M9" s="9" t="s">
        <v>27</v>
      </c>
    </row>
    <row r="10" customFormat="false" ht="23.85" hidden="false" customHeight="false" outlineLevel="0" collapsed="false">
      <c r="A10" s="5" t="s">
        <v>24</v>
      </c>
      <c r="B10" s="6" t="s">
        <v>30</v>
      </c>
      <c r="C10" s="5" t="s">
        <v>17</v>
      </c>
      <c r="D10" s="7" t="n">
        <v>0.740140077809885</v>
      </c>
      <c r="E10" s="5"/>
      <c r="F10" s="7" t="n">
        <v>1.10196671294266</v>
      </c>
      <c r="G10" s="5"/>
      <c r="H10" s="5"/>
      <c r="I10" s="5"/>
      <c r="J10" s="7" t="n">
        <v>-0.0036</v>
      </c>
      <c r="K10" s="7" t="n">
        <v>0.366</v>
      </c>
      <c r="L10" s="9" t="s">
        <v>26</v>
      </c>
      <c r="M10" s="9" t="s">
        <v>27</v>
      </c>
    </row>
    <row r="11" customFormat="false" ht="23.85" hidden="false" customHeight="false" outlineLevel="0" collapsed="false">
      <c r="A11" s="5" t="s">
        <v>24</v>
      </c>
      <c r="B11" s="6" t="s">
        <v>31</v>
      </c>
      <c r="C11" s="5" t="s">
        <v>17</v>
      </c>
      <c r="D11" s="7" t="n">
        <v>0.847769830341792</v>
      </c>
      <c r="E11" s="5"/>
      <c r="F11" s="7" t="n">
        <v>1.60439336300515</v>
      </c>
      <c r="G11" s="5"/>
      <c r="H11" s="5"/>
      <c r="I11" s="5"/>
      <c r="J11" s="7" t="n">
        <v>0.0422</v>
      </c>
      <c r="K11" s="7" t="n">
        <v>0.178</v>
      </c>
      <c r="L11" s="9" t="s">
        <v>26</v>
      </c>
      <c r="M11" s="9" t="s">
        <v>27</v>
      </c>
    </row>
    <row r="12" customFormat="false" ht="23.85" hidden="false" customHeight="false" outlineLevel="0" collapsed="false">
      <c r="A12" s="5" t="s">
        <v>24</v>
      </c>
      <c r="B12" s="6" t="s">
        <v>32</v>
      </c>
      <c r="C12" s="5" t="s">
        <v>17</v>
      </c>
      <c r="D12" s="7" t="n">
        <v>0.934641243163462</v>
      </c>
      <c r="E12" s="5"/>
      <c r="F12" s="7" t="n">
        <v>2.45078807547734</v>
      </c>
      <c r="G12" s="5"/>
      <c r="H12" s="5"/>
      <c r="I12" s="5"/>
      <c r="J12" s="8" t="n">
        <v>0.1537</v>
      </c>
      <c r="K12" s="8" t="n">
        <v>0.011</v>
      </c>
      <c r="L12" s="9" t="s">
        <v>26</v>
      </c>
      <c r="M12" s="9" t="s">
        <v>27</v>
      </c>
    </row>
    <row r="13" customFormat="false" ht="23.85" hidden="false" customHeight="false" outlineLevel="0" collapsed="false">
      <c r="A13" s="5" t="s">
        <v>24</v>
      </c>
      <c r="B13" s="6" t="s">
        <v>33</v>
      </c>
      <c r="C13" s="5" t="s">
        <v>17</v>
      </c>
      <c r="D13" s="7" t="n">
        <v>0.839676239733466</v>
      </c>
      <c r="E13" s="5"/>
      <c r="F13" s="7" t="n">
        <v>1.56690108263718</v>
      </c>
      <c r="G13" s="5"/>
      <c r="H13" s="5"/>
      <c r="I13" s="5"/>
      <c r="J13" s="8" t="n">
        <v>0.141</v>
      </c>
      <c r="K13" s="8" t="n">
        <v>0.032</v>
      </c>
      <c r="L13" s="9" t="s">
        <v>26</v>
      </c>
      <c r="M13" s="9" t="s">
        <v>27</v>
      </c>
    </row>
    <row r="14" customFormat="false" ht="23.85" hidden="false" customHeight="false" outlineLevel="0" collapsed="false">
      <c r="A14" s="5" t="s">
        <v>24</v>
      </c>
      <c r="B14" s="6" t="s">
        <v>34</v>
      </c>
      <c r="C14" s="5" t="s">
        <v>17</v>
      </c>
      <c r="D14" s="7" t="n">
        <v>0.461077388589953</v>
      </c>
      <c r="E14" s="5"/>
      <c r="F14" s="7" t="n">
        <v>0.36451723560845</v>
      </c>
      <c r="G14" s="5"/>
      <c r="H14" s="5"/>
      <c r="I14" s="5"/>
      <c r="J14" s="8" t="n">
        <v>0.2916</v>
      </c>
      <c r="K14" s="8" t="n">
        <v>0.001</v>
      </c>
      <c r="L14" s="9" t="s">
        <v>26</v>
      </c>
      <c r="M14" s="9" t="s">
        <v>27</v>
      </c>
    </row>
    <row r="15" customFormat="false" ht="15" hidden="false" customHeight="false" outlineLevel="0" collapsed="false">
      <c r="A15" s="5" t="s">
        <v>24</v>
      </c>
      <c r="B15" s="6" t="s">
        <v>35</v>
      </c>
      <c r="C15" s="5" t="s">
        <v>17</v>
      </c>
      <c r="D15" s="7" t="n">
        <v>0.4102</v>
      </c>
      <c r="E15" s="5"/>
      <c r="F15" s="7" t="n">
        <v>0.2956</v>
      </c>
      <c r="G15" s="5"/>
      <c r="H15" s="5"/>
      <c r="I15" s="5"/>
      <c r="J15" s="8" t="n">
        <v>0.4458</v>
      </c>
      <c r="K15" s="8" t="n">
        <v>0.001</v>
      </c>
      <c r="L15" s="9" t="s">
        <v>36</v>
      </c>
      <c r="M15" s="9" t="s">
        <v>37</v>
      </c>
    </row>
    <row r="16" customFormat="false" ht="35.05" hidden="false" customHeight="false" outlineLevel="0" collapsed="false">
      <c r="A16" s="5" t="s">
        <v>38</v>
      </c>
      <c r="B16" s="6" t="s">
        <v>39</v>
      </c>
      <c r="C16" s="5" t="s">
        <v>40</v>
      </c>
      <c r="D16" s="7" t="n">
        <v>0.509</v>
      </c>
      <c r="E16" s="5"/>
      <c r="F16" s="5"/>
      <c r="G16" s="5"/>
      <c r="H16" s="5"/>
      <c r="I16" s="5"/>
      <c r="J16" s="8" t="n">
        <v>0.995</v>
      </c>
      <c r="K16" s="8" t="n">
        <v>0.001</v>
      </c>
      <c r="L16" s="9" t="s">
        <v>41</v>
      </c>
      <c r="M16" s="9" t="s">
        <v>42</v>
      </c>
    </row>
    <row r="17" customFormat="false" ht="35.05" hidden="false" customHeight="false" outlineLevel="0" collapsed="false">
      <c r="A17" s="5" t="s">
        <v>38</v>
      </c>
      <c r="B17" s="6" t="s">
        <v>43</v>
      </c>
      <c r="C17" s="5" t="s">
        <v>40</v>
      </c>
      <c r="D17" s="7" t="n">
        <v>0.537</v>
      </c>
      <c r="E17" s="5"/>
      <c r="F17" s="5"/>
      <c r="G17" s="5"/>
      <c r="H17" s="5"/>
      <c r="I17" s="5"/>
      <c r="J17" s="8" t="n">
        <v>0.993</v>
      </c>
      <c r="K17" s="8" t="n">
        <v>0.001</v>
      </c>
      <c r="L17" s="9" t="s">
        <v>41</v>
      </c>
      <c r="M17" s="9" t="s">
        <v>42</v>
      </c>
    </row>
    <row r="18" customFormat="false" ht="35.05" hidden="false" customHeight="false" outlineLevel="0" collapsed="false">
      <c r="A18" s="5" t="s">
        <v>38</v>
      </c>
      <c r="B18" s="6" t="s">
        <v>44</v>
      </c>
      <c r="C18" s="5" t="s">
        <v>40</v>
      </c>
      <c r="D18" s="7" t="n">
        <v>0.597</v>
      </c>
      <c r="E18" s="5"/>
      <c r="F18" s="5"/>
      <c r="G18" s="5"/>
      <c r="H18" s="5"/>
      <c r="I18" s="5"/>
      <c r="J18" s="8" t="n">
        <v>0.992</v>
      </c>
      <c r="K18" s="8" t="n">
        <v>0.001</v>
      </c>
      <c r="L18" s="9" t="s">
        <v>41</v>
      </c>
      <c r="M18" s="9" t="s">
        <v>42</v>
      </c>
    </row>
    <row r="19" customFormat="false" ht="35.05" hidden="false" customHeight="false" outlineLevel="0" collapsed="false">
      <c r="A19" s="5" t="s">
        <v>38</v>
      </c>
      <c r="B19" s="6" t="s">
        <v>45</v>
      </c>
      <c r="C19" s="5" t="s">
        <v>40</v>
      </c>
      <c r="D19" s="7" t="n">
        <v>0.652</v>
      </c>
      <c r="E19" s="5"/>
      <c r="F19" s="5"/>
      <c r="G19" s="5"/>
      <c r="H19" s="5"/>
      <c r="I19" s="5"/>
      <c r="J19" s="8" t="n">
        <v>0.993</v>
      </c>
      <c r="K19" s="8" t="n">
        <v>0.001</v>
      </c>
      <c r="L19" s="9" t="s">
        <v>41</v>
      </c>
      <c r="M19" s="9" t="s">
        <v>42</v>
      </c>
    </row>
    <row r="20" customFormat="false" ht="35.05" hidden="false" customHeight="false" outlineLevel="0" collapsed="false">
      <c r="A20" s="5" t="s">
        <v>38</v>
      </c>
      <c r="B20" s="6" t="s">
        <v>46</v>
      </c>
      <c r="C20" s="5" t="s">
        <v>40</v>
      </c>
      <c r="D20" s="7" t="n">
        <v>0.51</v>
      </c>
      <c r="E20" s="5"/>
      <c r="F20" s="5"/>
      <c r="G20" s="5"/>
      <c r="H20" s="5"/>
      <c r="I20" s="5"/>
      <c r="J20" s="8" t="n">
        <v>0.993</v>
      </c>
      <c r="K20" s="8" t="n">
        <v>0.001</v>
      </c>
      <c r="L20" s="9" t="s">
        <v>41</v>
      </c>
      <c r="M20" s="9" t="s">
        <v>42</v>
      </c>
    </row>
    <row r="21" customFormat="false" ht="35.05" hidden="false" customHeight="false" outlineLevel="0" collapsed="false">
      <c r="A21" s="5" t="s">
        <v>38</v>
      </c>
      <c r="B21" s="6" t="s">
        <v>47</v>
      </c>
      <c r="C21" s="5" t="s">
        <v>40</v>
      </c>
      <c r="D21" s="7" t="n">
        <v>0.415</v>
      </c>
      <c r="E21" s="5"/>
      <c r="F21" s="5"/>
      <c r="G21" s="5"/>
      <c r="H21" s="5"/>
      <c r="I21" s="5"/>
      <c r="J21" s="8" t="n">
        <v>0.99</v>
      </c>
      <c r="K21" s="8" t="n">
        <v>0.001</v>
      </c>
      <c r="L21" s="9" t="s">
        <v>41</v>
      </c>
      <c r="M21" s="9" t="s">
        <v>42</v>
      </c>
    </row>
    <row r="22" customFormat="false" ht="35.05" hidden="false" customHeight="false" outlineLevel="0" collapsed="false">
      <c r="A22" s="5" t="s">
        <v>38</v>
      </c>
      <c r="B22" s="6" t="s">
        <v>48</v>
      </c>
      <c r="C22" s="5" t="s">
        <v>40</v>
      </c>
      <c r="D22" s="7" t="n">
        <v>0.354</v>
      </c>
      <c r="E22" s="5"/>
      <c r="F22" s="5"/>
      <c r="G22" s="5"/>
      <c r="H22" s="5"/>
      <c r="I22" s="5"/>
      <c r="J22" s="8" t="n">
        <v>0.995</v>
      </c>
      <c r="K22" s="8" t="n">
        <v>0.001</v>
      </c>
      <c r="L22" s="9" t="s">
        <v>41</v>
      </c>
      <c r="M22" s="9" t="s">
        <v>42</v>
      </c>
    </row>
    <row r="23" customFormat="false" ht="35.05" hidden="false" customHeight="false" outlineLevel="0" collapsed="false">
      <c r="A23" s="5" t="s">
        <v>38</v>
      </c>
      <c r="B23" s="6" t="s">
        <v>49</v>
      </c>
      <c r="C23" s="5" t="s">
        <v>40</v>
      </c>
      <c r="D23" s="7" t="n">
        <v>0.4</v>
      </c>
      <c r="E23" s="5"/>
      <c r="F23" s="5"/>
      <c r="G23" s="5"/>
      <c r="H23" s="5"/>
      <c r="I23" s="5"/>
      <c r="J23" s="8" t="n">
        <v>0.995</v>
      </c>
      <c r="K23" s="8" t="n">
        <v>0.001</v>
      </c>
      <c r="L23" s="9" t="s">
        <v>41</v>
      </c>
      <c r="M23" s="9" t="s">
        <v>42</v>
      </c>
    </row>
    <row r="24" customFormat="false" ht="35.05" hidden="false" customHeight="false" outlineLevel="0" collapsed="false">
      <c r="A24" s="5" t="s">
        <v>38</v>
      </c>
      <c r="B24" s="6" t="s">
        <v>50</v>
      </c>
      <c r="C24" s="5" t="s">
        <v>40</v>
      </c>
      <c r="D24" s="7" t="n">
        <v>0.611</v>
      </c>
      <c r="E24" s="5"/>
      <c r="F24" s="5"/>
      <c r="G24" s="5"/>
      <c r="H24" s="5"/>
      <c r="I24" s="5"/>
      <c r="J24" s="8" t="n">
        <v>0.993</v>
      </c>
      <c r="K24" s="8" t="n">
        <v>0.001</v>
      </c>
      <c r="L24" s="9" t="s">
        <v>41</v>
      </c>
      <c r="M24" s="9" t="s">
        <v>42</v>
      </c>
    </row>
    <row r="25" customFormat="false" ht="35.05" hidden="false" customHeight="false" outlineLevel="0" collapsed="false">
      <c r="A25" s="5" t="s">
        <v>38</v>
      </c>
      <c r="B25" s="6" t="s">
        <v>51</v>
      </c>
      <c r="C25" s="5" t="s">
        <v>40</v>
      </c>
      <c r="D25" s="7" t="n">
        <v>0.682</v>
      </c>
      <c r="E25" s="5"/>
      <c r="F25" s="5"/>
      <c r="G25" s="5"/>
      <c r="H25" s="5"/>
      <c r="I25" s="5"/>
      <c r="J25" s="8" t="n">
        <v>0.99</v>
      </c>
      <c r="K25" s="8" t="n">
        <v>0.001</v>
      </c>
      <c r="L25" s="9" t="s">
        <v>41</v>
      </c>
      <c r="M25" s="9" t="s">
        <v>42</v>
      </c>
    </row>
    <row r="26" customFormat="false" ht="23.85" hidden="false" customHeight="false" outlineLevel="0" collapsed="false">
      <c r="A26" s="5" t="s">
        <v>52</v>
      </c>
      <c r="B26" s="6" t="s">
        <v>53</v>
      </c>
      <c r="C26" s="5" t="s">
        <v>17</v>
      </c>
      <c r="D26" s="7" t="n">
        <v>0.0424</v>
      </c>
      <c r="E26" s="5"/>
      <c r="F26" s="7" t="n">
        <v>0.0053</v>
      </c>
      <c r="G26" s="5"/>
      <c r="H26" s="5"/>
      <c r="I26" s="5"/>
      <c r="J26" s="8" t="n">
        <v>0.5502</v>
      </c>
      <c r="K26" s="8" t="n">
        <v>0.001</v>
      </c>
      <c r="L26" s="9" t="s">
        <v>54</v>
      </c>
      <c r="M26" s="9" t="s">
        <v>42</v>
      </c>
    </row>
    <row r="27" customFormat="false" ht="23.85" hidden="false" customHeight="false" outlineLevel="0" collapsed="false">
      <c r="A27" s="5" t="s">
        <v>52</v>
      </c>
      <c r="B27" s="6" t="s">
        <v>55</v>
      </c>
      <c r="C27" s="5" t="s">
        <v>17</v>
      </c>
      <c r="D27" s="7" t="n">
        <v>0.7753</v>
      </c>
      <c r="E27" s="5"/>
      <c r="F27" s="7" t="n">
        <v>1.2812</v>
      </c>
      <c r="G27" s="5"/>
      <c r="H27" s="5"/>
      <c r="I27" s="5"/>
      <c r="J27" s="8" t="n">
        <v>0.3599</v>
      </c>
      <c r="K27" s="8" t="n">
        <v>0.001</v>
      </c>
      <c r="L27" s="9" t="s">
        <v>56</v>
      </c>
      <c r="M27" s="9" t="s">
        <v>42</v>
      </c>
    </row>
    <row r="28" customFormat="false" ht="23.85" hidden="false" customHeight="false" outlineLevel="0" collapsed="false">
      <c r="A28" s="5" t="s">
        <v>57</v>
      </c>
      <c r="B28" s="6" t="s">
        <v>58</v>
      </c>
      <c r="C28" s="5" t="s">
        <v>59</v>
      </c>
      <c r="D28" s="7" t="n">
        <v>0.4823</v>
      </c>
      <c r="E28" s="5"/>
      <c r="F28" s="7" t="n">
        <v>0.3924</v>
      </c>
      <c r="G28" s="7" t="n">
        <v>0.4164</v>
      </c>
      <c r="H28" s="5" t="s">
        <v>60</v>
      </c>
      <c r="I28" s="7" t="n">
        <v>0.2372</v>
      </c>
      <c r="J28" s="7" t="n">
        <v>0.1184</v>
      </c>
      <c r="K28" s="7" t="n">
        <v>0.062</v>
      </c>
      <c r="L28" s="9" t="s">
        <v>61</v>
      </c>
      <c r="M28" s="9" t="s">
        <v>62</v>
      </c>
    </row>
    <row r="29" customFormat="false" ht="23.85" hidden="false" customHeight="false" outlineLevel="0" collapsed="false">
      <c r="A29" s="5" t="s">
        <v>57</v>
      </c>
      <c r="B29" s="6" t="s">
        <v>63</v>
      </c>
      <c r="C29" s="5" t="s">
        <v>59</v>
      </c>
      <c r="D29" s="7" t="n">
        <v>0.7074</v>
      </c>
      <c r="E29" s="5"/>
      <c r="F29" s="7" t="n">
        <v>1.1936</v>
      </c>
      <c r="G29" s="5"/>
      <c r="H29" s="5"/>
      <c r="I29" s="5"/>
      <c r="J29" s="7" t="n">
        <v>0.0119</v>
      </c>
      <c r="K29" s="7" t="n">
        <v>0.191</v>
      </c>
      <c r="L29" s="9" t="s">
        <v>64</v>
      </c>
      <c r="M29" s="9" t="s">
        <v>62</v>
      </c>
    </row>
    <row r="30" customFormat="false" ht="23.85" hidden="false" customHeight="false" outlineLevel="0" collapsed="false">
      <c r="A30" s="5" t="s">
        <v>57</v>
      </c>
      <c r="B30" s="6" t="s">
        <v>65</v>
      </c>
      <c r="C30" s="5" t="s">
        <v>59</v>
      </c>
      <c r="D30" s="7" t="n">
        <v>0.5763</v>
      </c>
      <c r="E30" s="5"/>
      <c r="F30" s="7" t="n">
        <v>0.6896</v>
      </c>
      <c r="G30" s="5"/>
      <c r="H30" s="5"/>
      <c r="I30" s="5"/>
      <c r="J30" s="7" t="n">
        <v>0.0548</v>
      </c>
      <c r="K30" s="7" t="n">
        <v>0.092</v>
      </c>
      <c r="L30" s="9" t="s">
        <v>66</v>
      </c>
      <c r="M30" s="9" t="s">
        <v>62</v>
      </c>
    </row>
    <row r="31" customFormat="false" ht="23.85" hidden="false" customHeight="false" outlineLevel="0" collapsed="false">
      <c r="A31" s="5" t="s">
        <v>57</v>
      </c>
      <c r="B31" s="6" t="s">
        <v>67</v>
      </c>
      <c r="C31" s="5" t="s">
        <v>59</v>
      </c>
      <c r="D31" s="5"/>
      <c r="E31" s="5"/>
      <c r="F31" s="5"/>
      <c r="G31" s="5"/>
      <c r="H31" s="5"/>
      <c r="I31" s="5"/>
      <c r="J31" s="7" t="n">
        <v>-0.0272</v>
      </c>
      <c r="K31" s="7" t="n">
        <v>0.308</v>
      </c>
      <c r="L31" s="9" t="s">
        <v>68</v>
      </c>
      <c r="M31" s="9" t="s">
        <v>62</v>
      </c>
    </row>
    <row r="32" customFormat="false" ht="23.85" hidden="false" customHeight="false" outlineLevel="0" collapsed="false">
      <c r="A32" s="5" t="s">
        <v>57</v>
      </c>
      <c r="B32" s="6" t="s">
        <v>69</v>
      </c>
      <c r="C32" s="5" t="s">
        <v>59</v>
      </c>
      <c r="D32" s="7" t="n">
        <v>0.2822</v>
      </c>
      <c r="E32" s="5"/>
      <c r="F32" s="7" t="n">
        <v>0.1366</v>
      </c>
      <c r="G32" s="5"/>
      <c r="H32" s="5"/>
      <c r="I32" s="5"/>
      <c r="J32" s="7" t="n">
        <v>0.0664</v>
      </c>
      <c r="K32" s="7" t="n">
        <v>0.153</v>
      </c>
      <c r="L32" s="9" t="s">
        <v>70</v>
      </c>
      <c r="M32" s="9" t="s">
        <v>62</v>
      </c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customFormat="false" ht="25.5" hidden="false" customHeight="true" outlineLevel="0" collapsed="false">
      <c r="A34" s="10" t="s">
        <v>71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customFormat="false" ht="25.5" hidden="false" customHeight="true" outlineLevel="0" collapsed="false">
      <c r="A35" s="10" t="s">
        <v>72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customFormat="false" ht="25.5" hidden="false" customHeight="true" outlineLevel="0" collapsed="false">
      <c r="A36" s="10" t="s">
        <v>73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</sheetData>
  <mergeCells count="3">
    <mergeCell ref="A34:M34"/>
    <mergeCell ref="A35:M35"/>
    <mergeCell ref="A36:M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7" min="6" style="0" width="13"/>
  </cols>
  <sheetData>
    <row r="1" customFormat="false" ht="16.15" hidden="false" customHeight="false" outlineLevel="0" collapsed="false">
      <c r="A1" s="1" t="s">
        <v>74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75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30" hidden="false" customHeight="true" outlineLevel="0" collapsed="false">
      <c r="A4" s="4" t="s">
        <v>76</v>
      </c>
      <c r="B4" s="4" t="s">
        <v>77</v>
      </c>
      <c r="C4" s="4" t="s">
        <v>78</v>
      </c>
      <c r="D4" s="4" t="s">
        <v>79</v>
      </c>
      <c r="E4" s="4" t="s">
        <v>80</v>
      </c>
      <c r="F4" s="4" t="s">
        <v>81</v>
      </c>
      <c r="G4" s="4" t="s">
        <v>82</v>
      </c>
    </row>
    <row r="5" customFormat="false" ht="15" hidden="false" customHeight="false" outlineLevel="0" collapsed="false">
      <c r="A5" s="11" t="s">
        <v>83</v>
      </c>
      <c r="B5" s="11" t="s">
        <v>53</v>
      </c>
      <c r="C5" s="11" t="n">
        <v>68</v>
      </c>
      <c r="D5" s="8" t="n">
        <v>0.830476772149483</v>
      </c>
      <c r="E5" s="8" t="n">
        <v>1.98403812800933E-018</v>
      </c>
      <c r="F5" s="8" t="n">
        <v>2.38084575361119E-017</v>
      </c>
      <c r="G5" s="11" t="s">
        <v>84</v>
      </c>
    </row>
    <row r="6" customFormat="false" ht="15" hidden="false" customHeight="false" outlineLevel="0" collapsed="false">
      <c r="A6" s="11" t="s">
        <v>85</v>
      </c>
      <c r="B6" s="11" t="s">
        <v>86</v>
      </c>
      <c r="C6" s="11" t="n">
        <v>68</v>
      </c>
      <c r="D6" s="8" t="n">
        <v>0.566593815618012</v>
      </c>
      <c r="E6" s="8" t="n">
        <v>4.73953200794624E-007</v>
      </c>
      <c r="F6" s="8" t="n">
        <v>2.84371920476774E-006</v>
      </c>
      <c r="G6" s="11" t="s">
        <v>84</v>
      </c>
    </row>
    <row r="7" customFormat="false" ht="15" hidden="false" customHeight="false" outlineLevel="0" collapsed="false">
      <c r="A7" s="11" t="s">
        <v>83</v>
      </c>
      <c r="B7" s="11" t="s">
        <v>87</v>
      </c>
      <c r="C7" s="11" t="n">
        <v>68</v>
      </c>
      <c r="D7" s="8" t="n">
        <v>-0.462762911783792</v>
      </c>
      <c r="E7" s="8" t="n">
        <v>7.08639651435212E-005</v>
      </c>
      <c r="F7" s="8" t="n">
        <v>0.000283455860574085</v>
      </c>
      <c r="G7" s="11" t="s">
        <v>84</v>
      </c>
    </row>
    <row r="8" customFormat="false" ht="15" hidden="false" customHeight="false" outlineLevel="0" collapsed="false">
      <c r="A8" s="5" t="s">
        <v>85</v>
      </c>
      <c r="B8" s="5" t="s">
        <v>53</v>
      </c>
      <c r="C8" s="5" t="n">
        <v>68</v>
      </c>
      <c r="D8" s="7" t="n">
        <v>0.230467519836427</v>
      </c>
      <c r="E8" s="7" t="n">
        <v>0.0586525472003416</v>
      </c>
      <c r="F8" s="7" t="n">
        <v>0.14076611328082</v>
      </c>
      <c r="G8" s="5" t="s">
        <v>88</v>
      </c>
    </row>
    <row r="9" customFormat="false" ht="15" hidden="false" customHeight="false" outlineLevel="0" collapsed="false">
      <c r="A9" s="5" t="s">
        <v>89</v>
      </c>
      <c r="B9" s="5" t="s">
        <v>83</v>
      </c>
      <c r="C9" s="5" t="n">
        <v>67</v>
      </c>
      <c r="D9" s="7" t="n">
        <v>0.202490222683375</v>
      </c>
      <c r="E9" s="7" t="n">
        <v>0.100313676475016</v>
      </c>
      <c r="F9" s="7" t="n">
        <v>0.150470514712523</v>
      </c>
      <c r="G9" s="5" t="s">
        <v>88</v>
      </c>
    </row>
    <row r="10" customFormat="false" ht="15" hidden="false" customHeight="false" outlineLevel="0" collapsed="false">
      <c r="A10" s="5" t="s">
        <v>89</v>
      </c>
      <c r="B10" s="5" t="s">
        <v>85</v>
      </c>
      <c r="C10" s="5" t="n">
        <v>67</v>
      </c>
      <c r="D10" s="7" t="n">
        <v>0.208298829713752</v>
      </c>
      <c r="E10" s="7" t="n">
        <v>0.0907370987554889</v>
      </c>
      <c r="F10" s="7" t="n">
        <v>0.150470514712523</v>
      </c>
      <c r="G10" s="5" t="s">
        <v>88</v>
      </c>
    </row>
    <row r="11" customFormat="false" ht="15" hidden="false" customHeight="false" outlineLevel="0" collapsed="false">
      <c r="A11" s="5" t="s">
        <v>89</v>
      </c>
      <c r="B11" s="5" t="s">
        <v>86</v>
      </c>
      <c r="C11" s="5" t="n">
        <v>67</v>
      </c>
      <c r="D11" s="7" t="n">
        <v>0.17812456435578</v>
      </c>
      <c r="E11" s="7" t="n">
        <v>0.149264206780744</v>
      </c>
      <c r="F11" s="7" t="n">
        <v>0.199018942374325</v>
      </c>
      <c r="G11" s="5" t="s">
        <v>88</v>
      </c>
    </row>
    <row r="12" customFormat="false" ht="15" hidden="false" customHeight="false" outlineLevel="0" collapsed="false">
      <c r="A12" s="5" t="s">
        <v>85</v>
      </c>
      <c r="B12" s="5" t="s">
        <v>83</v>
      </c>
      <c r="C12" s="5" t="n">
        <v>68</v>
      </c>
      <c r="D12" s="7" t="n">
        <v>0.038058156070711</v>
      </c>
      <c r="E12" s="7" t="n">
        <v>0.75798433727717</v>
      </c>
      <c r="F12" s="7" t="n">
        <v>0.75798433727717</v>
      </c>
      <c r="G12" s="5" t="s">
        <v>88</v>
      </c>
    </row>
    <row r="13" customFormat="false" ht="15" hidden="false" customHeight="false" outlineLevel="0" collapsed="false">
      <c r="A13" s="5" t="s">
        <v>86</v>
      </c>
      <c r="B13" s="5" t="s">
        <v>83</v>
      </c>
      <c r="C13" s="5" t="n">
        <v>68</v>
      </c>
      <c r="D13" s="7" t="n">
        <v>-0.057683865196193</v>
      </c>
      <c r="E13" s="7" t="n">
        <v>0.640325448444515</v>
      </c>
      <c r="F13" s="7" t="n">
        <v>0.698536852848562</v>
      </c>
      <c r="G13" s="5" t="s">
        <v>88</v>
      </c>
    </row>
    <row r="14" customFormat="false" ht="15" hidden="false" customHeight="false" outlineLevel="0" collapsed="false">
      <c r="A14" s="5" t="s">
        <v>86</v>
      </c>
      <c r="B14" s="5" t="s">
        <v>53</v>
      </c>
      <c r="C14" s="5" t="n">
        <v>68</v>
      </c>
      <c r="D14" s="7" t="n">
        <v>0.0750348358988202</v>
      </c>
      <c r="E14" s="7" t="n">
        <v>0.54309475847964</v>
      </c>
      <c r="F14" s="7" t="n">
        <v>0.651713710175567</v>
      </c>
      <c r="G14" s="5" t="s">
        <v>88</v>
      </c>
    </row>
    <row r="15" customFormat="false" ht="15" hidden="false" customHeight="false" outlineLevel="0" collapsed="false">
      <c r="A15" s="5" t="s">
        <v>86</v>
      </c>
      <c r="B15" s="5" t="s">
        <v>90</v>
      </c>
      <c r="C15" s="5" t="n">
        <v>64</v>
      </c>
      <c r="D15" s="7" t="n">
        <v>0.27779304029304</v>
      </c>
      <c r="E15" s="7" t="n">
        <v>0.0262504882801925</v>
      </c>
      <c r="F15" s="7" t="n">
        <v>0.0787514648405776</v>
      </c>
      <c r="G15" s="5" t="s">
        <v>88</v>
      </c>
    </row>
    <row r="16" customFormat="false" ht="15" hidden="false" customHeight="false" outlineLevel="0" collapsed="false">
      <c r="A16" s="5" t="s">
        <v>89</v>
      </c>
      <c r="B16" s="5" t="s">
        <v>53</v>
      </c>
      <c r="C16" s="5" t="n">
        <v>67</v>
      </c>
      <c r="D16" s="7" t="n">
        <v>0.207957538510655</v>
      </c>
      <c r="E16" s="7" t="n">
        <v>0.0912791504317934</v>
      </c>
      <c r="F16" s="7" t="n">
        <v>0.150470514712523</v>
      </c>
      <c r="G16" s="5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6.15" hidden="false" customHeight="false" outlineLevel="0" collapsed="false">
      <c r="A1" s="1" t="s">
        <v>91</v>
      </c>
      <c r="B1" s="2"/>
      <c r="C1" s="2"/>
      <c r="D1" s="2"/>
      <c r="E1" s="2"/>
    </row>
    <row r="2" customFormat="false" ht="15" hidden="false" customHeight="false" outlineLevel="0" collapsed="false">
      <c r="A2" s="3" t="s">
        <v>92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4" t="s">
        <v>93</v>
      </c>
      <c r="B4" s="4" t="s">
        <v>94</v>
      </c>
      <c r="C4" s="2"/>
      <c r="D4" s="2"/>
      <c r="E4" s="2"/>
    </row>
    <row r="5" customFormat="false" ht="15" hidden="false" customHeight="false" outlineLevel="0" collapsed="false">
      <c r="A5" s="6" t="s">
        <v>95</v>
      </c>
      <c r="B5" s="12" t="n">
        <v>12</v>
      </c>
      <c r="C5" s="2"/>
      <c r="D5" s="2"/>
      <c r="E5" s="2"/>
    </row>
    <row r="6" customFormat="false" ht="15" hidden="false" customHeight="false" outlineLevel="0" collapsed="false">
      <c r="A6" s="6" t="s">
        <v>96</v>
      </c>
      <c r="B6" s="12" t="n">
        <v>9</v>
      </c>
      <c r="C6" s="2"/>
      <c r="D6" s="2"/>
      <c r="E6" s="2"/>
    </row>
    <row r="7" customFormat="false" ht="15" hidden="false" customHeight="false" outlineLevel="0" collapsed="false">
      <c r="A7" s="6" t="s">
        <v>97</v>
      </c>
      <c r="B7" s="12" t="n">
        <v>0.7</v>
      </c>
      <c r="C7" s="2"/>
      <c r="D7" s="2"/>
      <c r="E7" s="2"/>
    </row>
    <row r="8" customFormat="false" ht="15" hidden="false" customHeight="false" outlineLevel="0" collapsed="false">
      <c r="A8" s="6" t="s">
        <v>98</v>
      </c>
      <c r="B8" s="12" t="s">
        <v>99</v>
      </c>
      <c r="C8" s="2"/>
      <c r="D8" s="2"/>
      <c r="E8" s="2"/>
    </row>
    <row r="9" customFormat="false" ht="15" hidden="false" customHeight="false" outlineLevel="0" collapsed="false">
      <c r="A9" s="6" t="s">
        <v>100</v>
      </c>
      <c r="B9" s="12" t="s">
        <v>101</v>
      </c>
      <c r="C9" s="2"/>
      <c r="D9" s="2"/>
      <c r="E9" s="2"/>
    </row>
    <row r="10" customFormat="false" ht="15" hidden="false" customHeight="false" outlineLevel="0" collapsed="false">
      <c r="A10" s="6" t="s">
        <v>102</v>
      </c>
      <c r="B10" s="12" t="s">
        <v>103</v>
      </c>
      <c r="C10" s="2"/>
      <c r="D10" s="2"/>
      <c r="E10" s="2"/>
    </row>
    <row r="11" customFormat="false" ht="15" hidden="false" customHeight="false" outlineLevel="0" collapsed="false">
      <c r="A11" s="2"/>
      <c r="B11" s="2"/>
      <c r="C11" s="2"/>
      <c r="D11" s="2"/>
      <c r="E11" s="2"/>
    </row>
    <row r="12" customFormat="false" ht="23.85" hidden="false" customHeight="false" outlineLevel="0" collapsed="false">
      <c r="A12" s="4" t="s">
        <v>104</v>
      </c>
      <c r="B12" s="4" t="s">
        <v>105</v>
      </c>
      <c r="C12" s="4" t="s">
        <v>78</v>
      </c>
      <c r="D12" s="4" t="s">
        <v>106</v>
      </c>
      <c r="E12" s="4" t="s">
        <v>107</v>
      </c>
    </row>
    <row r="13" customFormat="false" ht="15" hidden="false" customHeight="false" outlineLevel="0" collapsed="false">
      <c r="A13" s="12" t="n">
        <v>1</v>
      </c>
      <c r="B13" s="12" t="s">
        <v>108</v>
      </c>
      <c r="C13" s="12" t="n">
        <v>14</v>
      </c>
      <c r="D13" s="13" t="n">
        <v>32265</v>
      </c>
      <c r="E13" s="14" t="n">
        <f aca="false">D13/SUM($D$13:$D$17)</f>
        <v>0.0852506922572872</v>
      </c>
    </row>
    <row r="14" customFormat="false" ht="15" hidden="false" customHeight="false" outlineLevel="0" collapsed="false">
      <c r="A14" s="12" t="n">
        <v>2</v>
      </c>
      <c r="B14" s="12" t="s">
        <v>109</v>
      </c>
      <c r="C14" s="12" t="n">
        <v>20</v>
      </c>
      <c r="D14" s="13" t="n">
        <v>107342</v>
      </c>
      <c r="E14" s="14" t="n">
        <f aca="false">D14/SUM($D$13:$D$17)</f>
        <v>0.283619395886618</v>
      </c>
    </row>
    <row r="15" customFormat="false" ht="15" hidden="false" customHeight="false" outlineLevel="0" collapsed="false">
      <c r="A15" s="12" t="n">
        <v>3</v>
      </c>
      <c r="B15" s="12" t="s">
        <v>110</v>
      </c>
      <c r="C15" s="12" t="n">
        <v>19</v>
      </c>
      <c r="D15" s="13" t="n">
        <v>188154</v>
      </c>
      <c r="E15" s="14" t="n">
        <f aca="false">D15/SUM($D$13:$D$17)</f>
        <v>0.49714113593608</v>
      </c>
    </row>
    <row r="16" customFormat="false" ht="15" hidden="false" customHeight="false" outlineLevel="0" collapsed="false">
      <c r="A16" s="12" t="n">
        <v>4</v>
      </c>
      <c r="B16" s="12" t="s">
        <v>111</v>
      </c>
      <c r="C16" s="12" t="n">
        <v>11</v>
      </c>
      <c r="D16" s="13" t="n">
        <v>46194</v>
      </c>
      <c r="E16" s="14" t="n">
        <f aca="false">D16/SUM($D$13:$D$17)</f>
        <v>0.122053943224334</v>
      </c>
    </row>
    <row r="17" customFormat="false" ht="15" hidden="false" customHeight="false" outlineLevel="0" collapsed="false">
      <c r="A17" s="12" t="n">
        <v>5</v>
      </c>
      <c r="B17" s="12" t="s">
        <v>112</v>
      </c>
      <c r="C17" s="12" t="n">
        <v>4</v>
      </c>
      <c r="D17" s="13" t="n">
        <v>4517</v>
      </c>
      <c r="E17" s="14" t="n">
        <f aca="false">D17/SUM($D$13:$D$17)</f>
        <v>0.0119348326956816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46"/>
  </cols>
  <sheetData>
    <row r="1" customFormat="false" ht="16.15" hidden="false" customHeight="false" outlineLevel="0" collapsed="false">
      <c r="A1" s="1" t="s">
        <v>113</v>
      </c>
      <c r="B1" s="2"/>
      <c r="C1" s="2"/>
      <c r="D1" s="2"/>
    </row>
    <row r="2" customFormat="false" ht="15" hidden="false" customHeight="false" outlineLevel="0" collapsed="false">
      <c r="A2" s="3" t="s">
        <v>114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24" hidden="false" customHeight="true" outlineLevel="0" collapsed="false">
      <c r="A4" s="4" t="s">
        <v>93</v>
      </c>
      <c r="B4" s="4" t="s">
        <v>115</v>
      </c>
      <c r="C4" s="4" t="s">
        <v>116</v>
      </c>
      <c r="D4" s="4" t="s">
        <v>117</v>
      </c>
    </row>
    <row r="5" customFormat="false" ht="15" hidden="false" customHeight="false" outlineLevel="0" collapsed="false">
      <c r="A5" s="15" t="s">
        <v>118</v>
      </c>
      <c r="B5" s="9" t="s">
        <v>119</v>
      </c>
      <c r="C5" s="9" t="s">
        <v>120</v>
      </c>
      <c r="D5" s="9" t="s">
        <v>121</v>
      </c>
    </row>
    <row r="6" customFormat="false" ht="23.85" hidden="false" customHeight="false" outlineLevel="0" collapsed="false">
      <c r="A6" s="15" t="s">
        <v>122</v>
      </c>
      <c r="B6" s="9" t="s">
        <v>123</v>
      </c>
      <c r="C6" s="9" t="s">
        <v>124</v>
      </c>
      <c r="D6" s="9" t="s">
        <v>125</v>
      </c>
    </row>
    <row r="7" customFormat="false" ht="15" hidden="false" customHeight="false" outlineLevel="0" collapsed="false">
      <c r="A7" s="15" t="s">
        <v>126</v>
      </c>
      <c r="B7" s="9" t="s">
        <v>127</v>
      </c>
      <c r="C7" s="9" t="s">
        <v>128</v>
      </c>
      <c r="D7" s="9" t="s">
        <v>129</v>
      </c>
    </row>
    <row r="8" customFormat="false" ht="15" hidden="false" customHeight="false" outlineLevel="0" collapsed="false">
      <c r="A8" s="15" t="s">
        <v>130</v>
      </c>
      <c r="B8" s="9" t="s">
        <v>131</v>
      </c>
      <c r="C8" s="9" t="s">
        <v>132</v>
      </c>
      <c r="D8" s="9" t="s">
        <v>133</v>
      </c>
    </row>
    <row r="9" customFormat="false" ht="15" hidden="false" customHeight="false" outlineLevel="0" collapsed="false">
      <c r="A9" s="15" t="s">
        <v>134</v>
      </c>
      <c r="B9" s="9" t="s">
        <v>135</v>
      </c>
      <c r="C9" s="9" t="s">
        <v>136</v>
      </c>
      <c r="D9" s="9" t="s">
        <v>137</v>
      </c>
    </row>
    <row r="10" customFormat="false" ht="15" hidden="false" customHeight="false" outlineLevel="0" collapsed="false">
      <c r="A10" s="15" t="s">
        <v>138</v>
      </c>
      <c r="B10" s="9" t="s">
        <v>139</v>
      </c>
      <c r="C10" s="9" t="s">
        <v>140</v>
      </c>
      <c r="D10" s="9" t="s">
        <v>141</v>
      </c>
    </row>
    <row r="11" customFormat="false" ht="15" hidden="false" customHeight="false" outlineLevel="0" collapsed="false">
      <c r="A11" s="15" t="s">
        <v>142</v>
      </c>
      <c r="B11" s="9" t="s">
        <v>143</v>
      </c>
      <c r="C11" s="9" t="s">
        <v>144</v>
      </c>
      <c r="D11" s="9" t="s">
        <v>145</v>
      </c>
    </row>
    <row r="12" customFormat="false" ht="15" hidden="false" customHeight="false" outlineLevel="0" collapsed="false">
      <c r="A12" s="15" t="s">
        <v>146</v>
      </c>
      <c r="B12" s="9" t="s">
        <v>147</v>
      </c>
      <c r="C12" s="9" t="s">
        <v>148</v>
      </c>
      <c r="D12" s="9" t="s">
        <v>149</v>
      </c>
    </row>
    <row r="13" customFormat="false" ht="15" hidden="false" customHeight="false" outlineLevel="0" collapsed="false">
      <c r="A13" s="15" t="s">
        <v>150</v>
      </c>
      <c r="B13" s="9" t="s">
        <v>151</v>
      </c>
      <c r="C13" s="9" t="s">
        <v>152</v>
      </c>
      <c r="D13" s="9" t="s">
        <v>153</v>
      </c>
    </row>
    <row r="14" customFormat="false" ht="15" hidden="false" customHeight="false" outlineLevel="0" collapsed="false">
      <c r="A14" s="15" t="s">
        <v>154</v>
      </c>
      <c r="B14" s="9" t="s">
        <v>155</v>
      </c>
      <c r="C14" s="9" t="s">
        <v>156</v>
      </c>
      <c r="D14" s="9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2026-10-16T01:09:24Z</dcterms:created>
  <dc:creator>openpyxl</dc:creator>
  <dc:description/>
  <dc:language>en-US</dc:language>
  <cp:lastModifiedBy/>
  <dcterms:modified xsi:type="dcterms:W3CDTF">2026-10-16T01:09:24Z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